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ano\Downloads\"/>
    </mc:Choice>
  </mc:AlternateContent>
  <xr:revisionPtr revIDLastSave="0" documentId="13_ncr:1_{F82D32AA-E5E6-40DB-B379-C79D3C286411}" xr6:coauthVersionLast="47" xr6:coauthVersionMax="47" xr10:uidLastSave="{00000000-0000-0000-0000-000000000000}"/>
  <bookViews>
    <workbookView xWindow="-120" yWindow="-120" windowWidth="29040" windowHeight="16440" xr2:uid="{635308C6-5CCF-4E7A-8F6F-D00EC1CC70FF}"/>
  </bookViews>
  <sheets>
    <sheet name="Dashboard" sheetId="2" r:id="rId1"/>
    <sheet name="Análisis" sheetId="3" r:id="rId2"/>
  </sheets>
  <definedNames>
    <definedName name="_xlnm.Print_Area" localSheetId="0">Dashboard!$A$1:$X$46</definedName>
    <definedName name="Timeline_Fechas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" r:id="rId10"/>
      </x15:timelineCachePivotCaches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nal_c7c4f4d6-ffad-4ca1-98bc-a85fdea8a112" name="Canal" connection="Consulta - Canal"/>
          <x15:modelTable id="Medio_c595aafd-8303-40bd-b949-d6f6a693d279" name="Medio" connection="Consulta - Medio"/>
          <x15:modelTable id="Fechas_a9fe1307-8c60-4acd-97d2-972c55628721" name="Fechas" connection="Consulta - Fechas"/>
        </x15:modelTables>
        <x15:modelRelationships>
          <x15:modelRelationship fromTable="Canal" fromColumn="Fecha" toTable="Fechas" toColumn="Fechas"/>
          <x15:modelRelationship fromTable="Medio" fromColumn="Fecha" toTable="Fechas" toColumn="Fechas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edio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  <x16:modelTimeGrouping tableName="Canal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 a="1"/>
  <c r="R3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97BD3-6058-4A11-9ACA-81D008C47A99}" name="Consulta - Canal" description="Conexión a la consulta 'Canal' en el libro." type="100" refreshedVersion="8" minRefreshableVersion="5">
    <extLst>
      <ext xmlns:x15="http://schemas.microsoft.com/office/spreadsheetml/2010/11/main" uri="{DE250136-89BD-433C-8126-D09CA5730AF9}">
        <x15:connection id="8c8b7ceb-98af-4040-8737-b97f4a89ceb6"/>
      </ext>
    </extLst>
  </connection>
  <connection id="2" xr16:uid="{A000359B-0575-449C-8809-5727E947F7E5}" name="Consulta - Fechas" description="Conexión a la consulta 'Fechas' en el libro." type="100" refreshedVersion="8" minRefreshableVersion="5">
    <extLst>
      <ext xmlns:x15="http://schemas.microsoft.com/office/spreadsheetml/2010/11/main" uri="{DE250136-89BD-433C-8126-D09CA5730AF9}">
        <x15:connection id="c2922f2c-ddeb-45fb-9101-56ca4dd8f574"/>
      </ext>
    </extLst>
  </connection>
  <connection id="3" xr16:uid="{35C35561-9760-4333-824B-1893F4BF546C}" name="Consulta - Medio" description="Conexión a la consulta 'Medio' en el libro." type="100" refreshedVersion="8" minRefreshableVersion="5">
    <extLst>
      <ext xmlns:x15="http://schemas.microsoft.com/office/spreadsheetml/2010/11/main" uri="{DE250136-89BD-433C-8126-D09CA5730AF9}">
        <x15:connection id="59a58923-c735-4b6a-8e76-26f10de6c87c"/>
      </ext>
    </extLst>
  </connection>
  <connection id="4" xr16:uid="{164CFED8-39B0-4C99-9151-432CBD3A132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<sst xmlns="http://schemas.openxmlformats.org/spreadsheetml/2006/main" count="45" uniqueCount="37">
  <si>
    <t>Participación del medio</t>
  </si>
  <si>
    <t>Crédito</t>
  </si>
  <si>
    <t>Débito</t>
  </si>
  <si>
    <t>Efectivo</t>
  </si>
  <si>
    <t>Otros</t>
  </si>
  <si>
    <t>Medio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</si>
  <si>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</si>
  <si>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</si>
  <si>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</si>
  <si>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</si>
  <si>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</si>
  <si>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</si>
  <si>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</si>
  <si>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</si>
  <si>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</si>
  <si>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</si>
  <si>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</si>
  <si>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</si>
  <si>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Año</t>
  </si>
  <si>
    <t>Promedio móvil</t>
  </si>
  <si>
    <t>Evolución online contra salón</t>
  </si>
  <si>
    <t>Online</t>
  </si>
  <si>
    <t>Salón</t>
  </si>
  <si>
    <t>Ventas totales</t>
  </si>
  <si>
    <t>Evolución de ventas totales por medio</t>
  </si>
  <si>
    <t>Participación online</t>
  </si>
  <si>
    <t>Participación online general</t>
  </si>
  <si>
    <t>Categoría líder</t>
  </si>
  <si>
    <t>Medio dominante</t>
  </si>
  <si>
    <t>Promedio móvil histórico</t>
  </si>
  <si>
    <t>Estacionalidad de los medios de pago</t>
  </si>
  <si>
    <t>Variación interanual último año</t>
  </si>
  <si>
    <t>Estacionalidad en los medios de pago</t>
  </si>
  <si>
    <t>Etiquetas de fila</t>
  </si>
  <si>
    <t>Etiquetas de columna</t>
  </si>
  <si>
    <t>Ventas totales por canal</t>
  </si>
  <si>
    <t>Variación interanual del último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</si>
</sst>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\ %;\-0.00\ %;0.00\ %"/>
    <numFmt numFmtId="165" formatCode="\$\ #,##0;\-\$\ #,##0;\$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D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1" xfId="0" applyBorder="1"/>
    <xf numFmtId="10" fontId="0" fillId="0" borderId="0" xfId="0" applyNumberFormat="1"/>
    <xf numFmtId="10" fontId="0" fillId="0" borderId="1" xfId="0" applyNumberFormat="1" applyBorder="1"/>
    <xf numFmtId="0" fontId="0" fillId="2" borderId="0" xfId="0" applyFill="1"/>
    <xf numFmtId="44" fontId="1" fillId="4" borderId="0" xfId="0" applyNumberFormat="1" applyFont="1" applyFill="1" applyAlignment="1">
      <alignment horizontal="centerContinuous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2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D0"/>
      <color rgb="FFFD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55" Type="http://schemas.openxmlformats.org/officeDocument/2006/relationships/customXml" Target="../customXml/item3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11.xml"/><Relationship Id="rId11" Type="http://schemas.microsoft.com/office/2011/relationships/timelineCache" Target="timelineCaches/timeline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8" Type="http://schemas.openxmlformats.org/officeDocument/2006/relationships/customXml" Target="../customXml/item40.xml"/><Relationship Id="rId5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56" Type="http://schemas.openxmlformats.org/officeDocument/2006/relationships/customXml" Target="../customXml/item3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3.xml"/><Relationship Id="rId3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59" Type="http://schemas.openxmlformats.org/officeDocument/2006/relationships/customXml" Target="../customXml/item41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54" Type="http://schemas.openxmlformats.org/officeDocument/2006/relationships/customXml" Target="../customXml/item3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57" Type="http://schemas.openxmlformats.org/officeDocument/2006/relationships/customXml" Target="../customXml/item39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 REY.xlsx]Análisis!TablaDinámica8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 b="1"/>
              <a:t>Evolución de los 4 medios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Análisis!$H$2:$H$3</c:f>
              <c:strCache>
                <c:ptCount val="1"/>
                <c:pt idx="0">
                  <c:v>Crédito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Análisis!$H$4:$H$12</c:f>
              <c:numCache>
                <c:formatCode>0.00%</c:formatCode>
                <c:ptCount val="9"/>
                <c:pt idx="0">
                  <c:v>0.15193147442215219</c:v>
                </c:pt>
                <c:pt idx="1">
                  <c:v>7.6869627821951572E-2</c:v>
                </c:pt>
                <c:pt idx="2">
                  <c:v>0.24608708891514014</c:v>
                </c:pt>
                <c:pt idx="3">
                  <c:v>0.13612737054456395</c:v>
                </c:pt>
                <c:pt idx="4">
                  <c:v>0.3278391391017762</c:v>
                </c:pt>
                <c:pt idx="5">
                  <c:v>0.3507085599679951</c:v>
                </c:pt>
                <c:pt idx="6">
                  <c:v>0.23070253149456055</c:v>
                </c:pt>
                <c:pt idx="7">
                  <c:v>0.31243752634031047</c:v>
                </c:pt>
                <c:pt idx="8">
                  <c:v>0.21294782300847609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C3-4263-A884-D7D737C315FC}"/>
            </c:ext>
          </c:extLst>
        </c:ser>
        <c:ser>
          <c:idx val="1"/>
          <c:order val="1"/>
          <c:tx>
            <c:strRef>
              <c:f>Análisis!$I$2:$I$3</c:f>
              <c:strCache>
                <c:ptCount val="1"/>
                <c:pt idx="0">
                  <c:v>Débito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Análisis!$I$4:$I$12</c:f>
              <c:numCache>
                <c:formatCode>0.00%</c:formatCode>
                <c:ptCount val="9"/>
                <c:pt idx="0">
                  <c:v>0.1466143033378137</c:v>
                </c:pt>
                <c:pt idx="1">
                  <c:v>0.38614338785061281</c:v>
                </c:pt>
                <c:pt idx="2">
                  <c:v>0.23226086893542777</c:v>
                </c:pt>
                <c:pt idx="3">
                  <c:v>0.2412925519897888</c:v>
                </c:pt>
                <c:pt idx="4">
                  <c:v>0.26960191092103547</c:v>
                </c:pt>
                <c:pt idx="5">
                  <c:v>0.23189411644519356</c:v>
                </c:pt>
                <c:pt idx="6">
                  <c:v>0.2019631655444297</c:v>
                </c:pt>
                <c:pt idx="7">
                  <c:v>0.18754893437628489</c:v>
                </c:pt>
                <c:pt idx="8">
                  <c:v>0.19458953402662107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C3-4263-A884-D7D737C315FC}"/>
            </c:ext>
          </c:extLst>
        </c:ser>
        <c:ser>
          <c:idx val="2"/>
          <c:order val="2"/>
          <c:tx>
            <c:strRef>
              <c:f>Análisis!$J$2:$J$3</c:f>
              <c:strCache>
                <c:ptCount val="1"/>
                <c:pt idx="0">
                  <c:v>Efectivo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Análisis!$J$4:$J$12</c:f>
              <c:numCache>
                <c:formatCode>0.00%</c:formatCode>
                <c:ptCount val="9"/>
                <c:pt idx="0">
                  <c:v>0.37519245988090205</c:v>
                </c:pt>
                <c:pt idx="1">
                  <c:v>0.33097338668541137</c:v>
                </c:pt>
                <c:pt idx="2">
                  <c:v>0.26729022882427306</c:v>
                </c:pt>
                <c:pt idx="3">
                  <c:v>0.47512756829006175</c:v>
                </c:pt>
                <c:pt idx="4">
                  <c:v>0.31142884850451907</c:v>
                </c:pt>
                <c:pt idx="5">
                  <c:v>0.33899130683263101</c:v>
                </c:pt>
                <c:pt idx="6">
                  <c:v>0.30412125585339123</c:v>
                </c:pt>
                <c:pt idx="7">
                  <c:v>0.29973538669536648</c:v>
                </c:pt>
                <c:pt idx="8">
                  <c:v>0.26692652554707808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C3-4263-A884-D7D737C315FC}"/>
            </c:ext>
          </c:extLst>
        </c:ser>
        <c:ser>
          <c:idx val="3"/>
          <c:order val="3"/>
          <c:tx>
            <c:strRef>
              <c:f>Análisis!$K$2:$K$3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Análisis!$K$4:$K$12</c:f>
              <c:numCache>
                <c:formatCode>0.00%</c:formatCode>
                <c:ptCount val="9"/>
                <c:pt idx="0">
                  <c:v>0.32626176235913218</c:v>
                </c:pt>
                <c:pt idx="1">
                  <c:v>0.20601359764202434</c:v>
                </c:pt>
                <c:pt idx="2">
                  <c:v>0.25436181332515906</c:v>
                </c:pt>
                <c:pt idx="3">
                  <c:v>0.14745250917558544</c:v>
                </c:pt>
                <c:pt idx="4">
                  <c:v>9.1130101472669242E-2</c:v>
                </c:pt>
                <c:pt idx="5">
                  <c:v>7.8406016754180352E-2</c:v>
                </c:pt>
                <c:pt idx="6">
                  <c:v>0.2632130471076185</c:v>
                </c:pt>
                <c:pt idx="7">
                  <c:v>0.20027815258803816</c:v>
                </c:pt>
                <c:pt idx="8">
                  <c:v>0.32553611741782468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C3-4263-A884-D7D737C315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551699984"/>
        <c:axId val="551701424"/>
      </c:barChart>
      <c:catAx>
        <c:axId val="55169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51701424"/>
        <c:crosses val="autoZero"/>
        <c:auto val="1"/>
        <c:lblAlgn val="ctr"/>
        <c:lblOffset val="100"/>
        <c:noMultiLvlLbl val="0"/>
      </c:catAx>
      <c:valAx>
        <c:axId val="5517014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51699984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 REY.xlsx]Análisis!TablaDinámica15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Promedio móvil de ventas totales (en billones de pesos)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diamond"/>
          <c:size val="7"/>
          <c:spPr>
            <a:solidFill>
              <a:srgbClr val="00B05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Análisis!$X$2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diamond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Análisis!$W$3:$W$11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Análisis!$X$3:$X$11</c:f>
              <c:numCache>
                <c:formatCode>\$\ #,##0;\-\$\ #,##0;\$\ #,##0</c:formatCode>
                <c:ptCount val="9"/>
                <c:pt idx="0">
                  <c:v>3.0117296316521204E+16</c:v>
                </c:pt>
                <c:pt idx="1">
                  <c:v>3.7955689650082664E+16</c:v>
                </c:pt>
                <c:pt idx="2">
                  <c:v>4.8170818942288928E+16</c:v>
                </c:pt>
                <c:pt idx="3">
                  <c:v>6.5486552721189064E+16</c:v>
                </c:pt>
                <c:pt idx="4">
                  <c:v>4.7461067137963248E+16</c:v>
                </c:pt>
                <c:pt idx="5">
                  <c:v>3.825271876696708E+16</c:v>
                </c:pt>
                <c:pt idx="6">
                  <c:v>4.0308596615577936E+16</c:v>
                </c:pt>
                <c:pt idx="7">
                  <c:v>6.1787912551025504E+16</c:v>
                </c:pt>
                <c:pt idx="8">
                  <c:v>4.9674019446675224E+16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EE-42D6-B495-DF9043AC8E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677904"/>
        <c:axId val="551679824"/>
      </c:lineChart>
      <c:catAx>
        <c:axId val="5516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51679824"/>
        <c:crosses val="autoZero"/>
        <c:auto val="1"/>
        <c:lblAlgn val="ctr"/>
        <c:lblOffset val="100"/>
        <c:noMultiLvlLbl val="0"/>
      </c:catAx>
      <c:valAx>
        <c:axId val="551679824"/>
        <c:scaling>
          <c:orientation val="minMax"/>
          <c:max val="8E+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;\-\$\ #,##0;\$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51677904"/>
        <c:crosses val="autoZero"/>
        <c:crossBetween val="between"/>
        <c:dispUnits>
          <c:builtInUnit val="tr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1 REY.xlsx]Análisis!TablaDinámica1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 b="1"/>
              <a:t>Evolución ventas Online contra Salón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492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492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Análisis!$C$2:$C$3</c:f>
              <c:strCache>
                <c:ptCount val="1"/>
                <c:pt idx="0">
                  <c:v>Online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Análisis!$B$4:$B$12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Análisis!$C$4:$C$12</c:f>
              <c:numCache>
                <c:formatCode>0.00%</c:formatCode>
                <c:ptCount val="9"/>
                <c:pt idx="0">
                  <c:v>5.6925457433591777E-7</c:v>
                </c:pt>
                <c:pt idx="1">
                  <c:v>0.28092463776898063</c:v>
                </c:pt>
                <c:pt idx="2">
                  <c:v>0.20034622155665288</c:v>
                </c:pt>
                <c:pt idx="3">
                  <c:v>0.64163740924137014</c:v>
                </c:pt>
                <c:pt idx="4">
                  <c:v>0.65842680127821507</c:v>
                </c:pt>
                <c:pt idx="5">
                  <c:v>0.43547469651756804</c:v>
                </c:pt>
                <c:pt idx="6">
                  <c:v>0.51548937286788687</c:v>
                </c:pt>
                <c:pt idx="7">
                  <c:v>0.5667726457430371</c:v>
                </c:pt>
                <c:pt idx="8">
                  <c:v>0.40112461477162209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3F-4A0D-97C1-DA3C767A618D}"/>
            </c:ext>
          </c:extLst>
        </c:ser>
        <c:ser>
          <c:idx val="1"/>
          <c:order val="1"/>
          <c:tx>
            <c:strRef>
              <c:f>Análisis!$D$2:$D$3</c:f>
              <c:strCache>
                <c:ptCount val="1"/>
                <c:pt idx="0">
                  <c:v>Salón</c:v>
                </c:pt>
              </c:strCache>
            </c:strRef>
          </c:tx>
          <c:spPr>
            <a:ln w="349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Análisis!$B$4:$B$12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Análisis!$D$4:$D$12</c:f>
              <c:numCache>
                <c:formatCode>0.00%</c:formatCode>
                <c:ptCount val="9"/>
                <c:pt idx="0">
                  <c:v>0.99999943074542574</c:v>
                </c:pt>
                <c:pt idx="1">
                  <c:v>0.71907536223101942</c:v>
                </c:pt>
                <c:pt idx="2">
                  <c:v>0.79965377844334706</c:v>
                </c:pt>
                <c:pt idx="3">
                  <c:v>0.35836259075862997</c:v>
                </c:pt>
                <c:pt idx="4">
                  <c:v>0.34157319872178499</c:v>
                </c:pt>
                <c:pt idx="5">
                  <c:v>0.56452530348243213</c:v>
                </c:pt>
                <c:pt idx="6">
                  <c:v>0.48451062713211301</c:v>
                </c:pt>
                <c:pt idx="7">
                  <c:v>0.4332273542569629</c:v>
                </c:pt>
                <c:pt idx="8">
                  <c:v>0.5988753852283778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3F-4A0D-97C1-DA3C767A6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287903"/>
        <c:axId val="2086285983"/>
      </c:lineChart>
      <c:catAx>
        <c:axId val="20862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86285983"/>
        <c:crosses val="autoZero"/>
        <c:auto val="1"/>
        <c:lblAlgn val="ctr"/>
        <c:lblOffset val="100"/>
        <c:noMultiLvlLbl val="0"/>
      </c:catAx>
      <c:valAx>
        <c:axId val="20862859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86287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752474</xdr:colOff>
      <xdr:row>5</xdr:row>
      <xdr:rowOff>0</xdr:rowOff>
    </xdr:from>
    <xdr:to>
      <xdr:col>5</xdr:col>
      <xdr:colOff>761999</xdr:colOff>
      <xdr:row>10</xdr:row>
      <xdr:rowOff>152400</xdr:rowOff>
    </xdr:to>
    <xdr:sp macro="" textlink="Análisis!N3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CE0B9C7-817D-1526-B00F-21053A2DD6D7}"/>
            </a:ext>
          </a:extLst>
        </xdr:cNvPr>
        <xdr:cNvSpPr/>
      </xdr:nvSpPr>
      <xdr:spPr>
        <a:xfrm>
          <a:off x="752474" y="952500"/>
          <a:ext cx="3819525" cy="1104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C6338F7A-DBF8-4461-8F2B-80864364B95B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pPr algn="r"/>
            <a:t>42,05 %</a:t>
          </a:fld>
          <a:endParaRPr lang="es-AR" sz="24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12</xdr:col>
      <xdr:colOff>0</xdr:colOff>
      <xdr:row>10</xdr:row>
      <xdr:rowOff>152400</xdr:rowOff>
    </xdr:to>
    <xdr:sp macro="" textlink="Análisis!Q3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BB4FBAE-5044-4C60-9534-58E7BAA4E85D}"/>
            </a:ext>
          </a:extLst>
        </xdr:cNvPr>
        <xdr:cNvSpPr/>
      </xdr:nvSpPr>
      <xdr:spPr>
        <a:xfrm>
          <a:off x="5334000" y="952500"/>
          <a:ext cx="3810000" cy="1104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50D13C12-FAA1-4F1B-B9DF-5C04FD0832AC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 algn="r"/>
            <a:t>Efectivo</a:t>
          </a:fld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13</xdr:col>
      <xdr:colOff>0</xdr:colOff>
      <xdr:row>5</xdr:row>
      <xdr:rowOff>38100</xdr:rowOff>
    </xdr:from>
    <xdr:to>
      <xdr:col>17</xdr:col>
      <xdr:colOff>571500</xdr:colOff>
      <xdr:row>11</xdr:row>
      <xdr:rowOff>0</xdr:rowOff>
    </xdr:to>
    <xdr:sp macro="" textlink="Análisis!T3">
      <xdr:nvSpPr>
        <xdr:cNvPr id="4" name="Rectángulo: esquinas redondeadas 3">
          <a:extLst>
            <a:ext uri="{FF2B5EF4-FFF2-40B4-BE49-F238E27FC236}">
              <a16:creationId xmlns:a16="http://schemas.microsoft.com/office/drawing/2014/main" id="{B6973C09-9C0A-466E-82F5-554DCBAE53A9}"/>
            </a:ext>
          </a:extLst>
        </xdr:cNvPr>
        <xdr:cNvSpPr/>
      </xdr:nvSpPr>
      <xdr:spPr>
        <a:xfrm>
          <a:off x="9906000" y="990600"/>
          <a:ext cx="3619500" cy="1104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673B5942-6747-439A-B7FF-CF50DCD66080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 algn="r"/>
            <a:t>-24,77 %</a:t>
          </a:fld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13</xdr:col>
      <xdr:colOff>0</xdr:colOff>
      <xdr:row>29</xdr:row>
      <xdr:rowOff>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B1EAC0A-0D8B-4DE4-425A-25179150DB72}"/>
            </a:ext>
          </a:extLst>
        </xdr:cNvPr>
        <xdr:cNvSpPr/>
      </xdr:nvSpPr>
      <xdr:spPr>
        <a:xfrm>
          <a:off x="762000" y="2286000"/>
          <a:ext cx="9144000" cy="3238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22</xdr:col>
      <xdr:colOff>0</xdr:colOff>
      <xdr:row>29</xdr:row>
      <xdr:rowOff>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BECA5A1-8B2F-B2C0-9130-3600BC89FF79}"/>
            </a:ext>
          </a:extLst>
        </xdr:cNvPr>
        <xdr:cNvGrpSpPr/>
      </xdr:nvGrpSpPr>
      <xdr:grpSpPr>
        <a:xfrm>
          <a:off x="10668000" y="2286000"/>
          <a:ext cx="6096000" cy="3238500"/>
          <a:chOff x="10668000" y="2286000"/>
          <a:chExt cx="6667500" cy="3238500"/>
        </a:xfrm>
      </xdr:grpSpPr>
      <xdr:sp macro="" textlink="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85A99B36-B808-4376-9685-34A7098A1212}"/>
              </a:ext>
            </a:extLst>
          </xdr:cNvPr>
          <xdr:cNvSpPr/>
        </xdr:nvSpPr>
        <xdr:spPr>
          <a:xfrm>
            <a:off x="10668000" y="2286000"/>
            <a:ext cx="6667500" cy="32385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r"/>
            <a:endParaRPr lang="es-AR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endParaRPr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76D89EB8-B244-4861-8ED6-891E249A458E}"/>
              </a:ext>
            </a:extLst>
          </xdr:cNvPr>
          <xdr:cNvGraphicFramePr>
            <a:graphicFrameLocks/>
          </xdr:cNvGraphicFramePr>
        </xdr:nvGraphicFramePr>
        <xdr:xfrm>
          <a:off x="11049000" y="2440215"/>
          <a:ext cx="5905500" cy="29300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0</xdr:colOff>
      <xdr:row>30</xdr:row>
      <xdr:rowOff>19050</xdr:rowOff>
    </xdr:from>
    <xdr:to>
      <xdr:col>16</xdr:col>
      <xdr:colOff>0</xdr:colOff>
      <xdr:row>45</xdr:row>
      <xdr:rowOff>19050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4348E05D-DD2C-407E-9B06-757F53BABDA9}"/>
            </a:ext>
          </a:extLst>
        </xdr:cNvPr>
        <xdr:cNvSpPr/>
      </xdr:nvSpPr>
      <xdr:spPr>
        <a:xfrm>
          <a:off x="762000" y="5734050"/>
          <a:ext cx="11430000" cy="285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</xdr:col>
      <xdr:colOff>190500</xdr:colOff>
      <xdr:row>30</xdr:row>
      <xdr:rowOff>154565</xdr:rowOff>
    </xdr:from>
    <xdr:to>
      <xdr:col>15</xdr:col>
      <xdr:colOff>571500</xdr:colOff>
      <xdr:row>44</xdr:row>
      <xdr:rowOff>74036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DDCFFE-8AF4-449B-815F-C98F46A50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18</xdr:col>
      <xdr:colOff>0</xdr:colOff>
      <xdr:row>4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5F2DC66-1CB4-1CAE-7A72-A3C81ACB0F3D}"/>
            </a:ext>
          </a:extLst>
        </xdr:cNvPr>
        <xdr:cNvSpPr txBox="1"/>
      </xdr:nvSpPr>
      <xdr:spPr>
        <a:xfrm>
          <a:off x="762000" y="190500"/>
          <a:ext cx="129540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AR" sz="2400" b="1">
              <a:latin typeface="Segoe UI Black" panose="020B0A02040204020203" pitchFamily="34" charset="0"/>
              <a:ea typeface="Segoe UI Black" panose="020B0A02040204020203" pitchFamily="34" charset="0"/>
            </a:rPr>
            <a:t>Análisis</a:t>
          </a:r>
          <a:r>
            <a:rPr lang="es-AR" sz="2400" b="1" baseline="0">
              <a:latin typeface="Segoe UI Black" panose="020B0A02040204020203" pitchFamily="34" charset="0"/>
              <a:ea typeface="Segoe UI Black" panose="020B0A02040204020203" pitchFamily="34" charset="0"/>
            </a:rPr>
            <a:t> sobre los medios de pago</a:t>
          </a:r>
          <a:r>
            <a:rPr lang="es-AR" sz="2400" b="1">
              <a:latin typeface="Segoe UI Black" panose="020B0A02040204020203" pitchFamily="34" charset="0"/>
              <a:ea typeface="Segoe UI Black" panose="020B0A02040204020203" pitchFamily="34" charset="0"/>
            </a:rPr>
            <a:t>:</a:t>
          </a:r>
          <a:r>
            <a:rPr lang="es-AR" sz="2400" b="1" baseline="0">
              <a:latin typeface="Segoe UI Black" panose="020B0A02040204020203" pitchFamily="34" charset="0"/>
              <a:ea typeface="Segoe UI Black" panose="020B0A02040204020203" pitchFamily="34" charset="0"/>
            </a:rPr>
            <a:t> ¿Está muriendo el efectivo?</a:t>
          </a:r>
          <a:endParaRPr lang="es-AR" sz="24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0</xdr:colOff>
      <xdr:row>5</xdr:row>
      <xdr:rowOff>95250</xdr:rowOff>
    </xdr:from>
    <xdr:to>
      <xdr:col>6</xdr:col>
      <xdr:colOff>0</xdr:colOff>
      <xdr:row>8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1872DA90-08F1-F5D8-658B-EE30125C7246}"/>
            </a:ext>
          </a:extLst>
        </xdr:cNvPr>
        <xdr:cNvSpPr txBox="1"/>
      </xdr:nvSpPr>
      <xdr:spPr>
        <a:xfrm>
          <a:off x="762000" y="1047750"/>
          <a:ext cx="3810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400">
              <a:latin typeface="Segoe UI Black" panose="020B0A02040204020203" pitchFamily="34" charset="0"/>
              <a:ea typeface="Segoe UI Black" panose="020B0A02040204020203" pitchFamily="34" charset="0"/>
            </a:rPr>
            <a:t>Total participación online</a:t>
          </a:r>
        </a:p>
      </xdr:txBody>
    </xdr:sp>
    <xdr:clientData/>
  </xdr:twoCellAnchor>
  <xdr:twoCellAnchor>
    <xdr:from>
      <xdr:col>7</xdr:col>
      <xdr:colOff>0</xdr:colOff>
      <xdr:row>5</xdr:row>
      <xdr:rowOff>95250</xdr:rowOff>
    </xdr:from>
    <xdr:to>
      <xdr:col>12</xdr:col>
      <xdr:colOff>0</xdr:colOff>
      <xdr:row>8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FD50AD30-4D19-4BD2-9AC4-E13C64F92BCB}"/>
            </a:ext>
          </a:extLst>
        </xdr:cNvPr>
        <xdr:cNvSpPr txBox="1"/>
      </xdr:nvSpPr>
      <xdr:spPr>
        <a:xfrm>
          <a:off x="5334000" y="1047750"/>
          <a:ext cx="3810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400">
              <a:latin typeface="Segoe UI Black" panose="020B0A02040204020203" pitchFamily="34" charset="0"/>
              <a:ea typeface="Segoe UI Black" panose="020B0A02040204020203" pitchFamily="34" charset="0"/>
            </a:rPr>
            <a:t>Medio de pago dominante</a:t>
          </a:r>
        </a:p>
      </xdr:txBody>
    </xdr:sp>
    <xdr:clientData/>
  </xdr:twoCellAnchor>
  <xdr:twoCellAnchor>
    <xdr:from>
      <xdr:col>13</xdr:col>
      <xdr:colOff>0</xdr:colOff>
      <xdr:row>5</xdr:row>
      <xdr:rowOff>123824</xdr:rowOff>
    </xdr:from>
    <xdr:to>
      <xdr:col>18</xdr:col>
      <xdr:colOff>0</xdr:colOff>
      <xdr:row>8</xdr:row>
      <xdr:rowOff>190499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B8121A8-A815-4322-9C69-3B13BB20A7E1}"/>
            </a:ext>
          </a:extLst>
        </xdr:cNvPr>
        <xdr:cNvSpPr txBox="1"/>
      </xdr:nvSpPr>
      <xdr:spPr>
        <a:xfrm>
          <a:off x="9906000" y="1076324"/>
          <a:ext cx="3810000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400">
              <a:latin typeface="Segoe UI Black" panose="020B0A02040204020203" pitchFamily="34" charset="0"/>
              <a:ea typeface="Segoe UI Black" panose="020B0A02040204020203" pitchFamily="34" charset="0"/>
            </a:rPr>
            <a:t>Variación interanual</a:t>
          </a:r>
          <a:r>
            <a:rPr lang="es-AR" sz="1400" baseline="0">
              <a:latin typeface="Segoe UI Black" panose="020B0A02040204020203" pitchFamily="34" charset="0"/>
              <a:ea typeface="Segoe UI Black" panose="020B0A02040204020203" pitchFamily="34" charset="0"/>
            </a:rPr>
            <a:t> de las ventas del último año</a:t>
          </a:r>
          <a:endParaRPr lang="es-AR" sz="14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219075</xdr:colOff>
      <xdr:row>12</xdr:row>
      <xdr:rowOff>95250</xdr:rowOff>
    </xdr:from>
    <xdr:to>
      <xdr:col>12</xdr:col>
      <xdr:colOff>542925</xdr:colOff>
      <xdr:row>28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0EA98D-4E47-4092-BA87-D0635FB1D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476250</xdr:colOff>
      <xdr:row>1</xdr:row>
      <xdr:rowOff>9525</xdr:rowOff>
    </xdr:from>
    <xdr:to>
      <xdr:col>23</xdr:col>
      <xdr:colOff>0</xdr:colOff>
      <xdr:row>8</xdr:row>
      <xdr:rowOff>47625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Fechas">
              <a:extLst>
                <a:ext uri="{FF2B5EF4-FFF2-40B4-BE49-F238E27FC236}">
                  <a16:creationId xmlns:a16="http://schemas.microsoft.com/office/drawing/2014/main" id="{CE281F58-8F42-4D6D-9389-6D6653C8F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2250" y="2000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212964" backgroundQuery="1" createdVersion="8" refreshedVersion="8" minRefreshableVersion="3" recordCount="0" supportSubquery="1" supportAdvancedDrill="1" xr:uid="{4EE5A2E0-D6B2-4E49-B56E-3234B236E6A5}">
  <cacheSource type="external" connectionId="4"/>
  <cacheFields count="3">
    <cacheField name="[Fechas].[Año].[Año]" caption="Año" numFmtId="0" hierarchy="7" level="1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Fechas].[Año].&amp;[2017]"/>
            <x15:cachedUniqueName index="1" name="[Fechas].[Año].&amp;[2018]"/>
            <x15:cachedUniqueName index="2" name="[Fechas].[Año].&amp;[2019]"/>
            <x15:cachedUniqueName index="3" name="[Fechas].[Año].&amp;[2020]"/>
            <x15:cachedUniqueName index="4" name="[Fechas].[Año].&amp;[2021]"/>
            <x15:cachedUniqueName index="5" name="[Fechas].[Año].&amp;[2022]"/>
            <x15:cachedUniqueName index="6" name="[Fechas].[Año].&amp;[2023]"/>
            <x15:cachedUniqueName index="7" name="[Fechas].[Año].&amp;[2024]"/>
            <x15:cachedUniqueName index="8" name="[Fechas].[Año].&amp;[2025]"/>
          </x15:cachedUniqueNames>
        </ext>
      </extLst>
    </cacheField>
    <cacheField name="[Canal].[Canal].[Canal]" caption="Canal" numFmtId="0" hierarchy="1" level="1">
      <sharedItems count="2">
        <s v="Online"/>
        <s v="Salón"/>
      </sharedItems>
      <extLst>
        <ext xmlns:x15="http://schemas.microsoft.com/office/spreadsheetml/2010/11/main" uri="{4F2E5C28-24EA-4eb8-9CBF-B6C8F9C3D259}">
          <x15:cachedUniqueNames>
            <x15:cachedUniqueName index="0" name="[Canal].[Canal].&amp;[Online]"/>
            <x15:cachedUniqueName index="1" name="[Canal].[Canal].&amp;[Salón]"/>
          </x15:cachedUniqueNames>
        </ext>
      </extLst>
    </cacheField>
    <cacheField name="[Measures].[Ventas totales por canal]" caption="Ventas totales por canal" numFmtId="0" hierarchy="19" level="32767"/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1"/>
      </fieldsUsage>
    </cacheHierarchy>
    <cacheHierarchy uniqueName="[Canal].[Ventas]" caption="Ventas" attribute="1" defaultMemberUniqueName="[Canal].[Ventas].[All]" allUniqueName="[Canal].[Ventas].[All]" dimensionUniqueName="[Canal]" displayFolder="" count="2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2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2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2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>
      <fieldsUsage count="2">
        <fieldUsage x="-1"/>
        <fieldUsage x="0"/>
      </fieldsUsage>
    </cacheHierarchy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2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/>
    <cacheHierarchy uniqueName="[Medio].[Ventas]" caption="Ventas" attribute="1" defaultMemberUniqueName="[Medio].[Ventas].[All]" allUniqueName="[Medio].[Ventas].[All]" dimensionUniqueName="[Medio]" displayFolder="" count="2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2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2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2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2" memberValueDatatype="20" unbalanced="0" hidden="1"/>
    <cacheHierarchy uniqueName="[Measures].[Ventas totales por canal]" caption="Ventas totales por canal" measure="1" displayFolder="" measureGroup="Canal" count="0" oneField="1">
      <fieldsUsage count="1">
        <fieldUsage x="2"/>
      </fieldsUsage>
    </cacheHierarchy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328703" backgroundQuery="1" createdVersion="8" refreshedVersion="8" minRefreshableVersion="3" recordCount="0" supportSubquery="1" supportAdvancedDrill="1" xr:uid="{AF8E504A-D6F4-4CB9-A1B4-490943C454FB}">
  <cacheSource type="external" connectionId="4"/>
  <cacheFields count="2">
    <cacheField name="[Measures].[Participación online]" caption="Participación online" numFmtId="0" hierarchy="29" level="32767"/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1"/>
      </fieldsUsage>
    </cacheHierarchy>
    <cacheHierarchy uniqueName="[Canal].[Canal]" caption="Canal" attribute="1" defaultMemberUniqueName="[Canal].[Canal].[All]" allUniqueName="[Canal].[Canal].[All]" dimensionUniqueName="[Canal]" displayFolder="" count="2" memberValueDatatype="130" unbalanced="0"/>
    <cacheHierarchy uniqueName="[Canal].[Ventas]" caption="Ventas" attribute="1" defaultMemberUniqueName="[Canal].[Ventas].[All]" allUniqueName="[Canal].[Ventas].[All]" dimensionUniqueName="[Canal]" displayFolder="" count="2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2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2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2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/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2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/>
    <cacheHierarchy uniqueName="[Medio].[Ventas]" caption="Ventas" attribute="1" defaultMemberUniqueName="[Medio].[Ventas].[All]" allUniqueName="[Medio].[Ventas].[All]" dimensionUniqueName="[Medio]" displayFolder="" count="2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2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2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2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2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 oneField="1">
      <fieldsUsage count="1">
        <fieldUsage x="0"/>
      </fieldsUsage>
    </cacheHierarchy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444441" backgroundQuery="1" createdVersion="8" refreshedVersion="8" minRefreshableVersion="3" recordCount="0" supportSubquery="1" supportAdvancedDrill="1" xr:uid="{05E122D9-5D43-49DA-98F5-7A48312B649C}">
  <cacheSource type="external" connectionId="4"/>
  <cacheFields count="2">
    <cacheField name="[Measures].[Categoría líder]" caption="Categoría líder" numFmtId="0" hierarchy="31" level="32767"/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1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0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 oneField="1">
      <fieldsUsage count="1">
        <fieldUsage x="0"/>
      </fieldsUsage>
    </cacheHierarchy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560187" backgroundQuery="1" createdVersion="8" refreshedVersion="8" minRefreshableVersion="3" recordCount="0" supportSubquery="1" supportAdvancedDrill="1" xr:uid="{69C3942C-CB92-4025-B896-AC541F3C8A4F}">
  <cacheSource type="external" connectionId="4"/>
  <cacheFields count="2">
    <cacheField name="[Canal].[Fecha].[Fecha]" caption="Fecha" numFmtId="0" level="1">
      <sharedItems containsSemiMixedTypes="0" containsNonDate="0" containsString="0"/>
    </cacheField>
    <cacheField name="[Measures].[Variación interanual del último año]" caption="Variación interanual del último año" numFmtId="0" hierarchy="30" level="32767"/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0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 oneField="1">
      <fieldsUsage count="1">
        <fieldUsage x="1"/>
      </fieldsUsage>
    </cacheHierarchy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90741" backgroundQuery="1" createdVersion="8" refreshedVersion="8" minRefreshableVersion="3" recordCount="0" supportSubquery="1" supportAdvancedDrill="1" xr:uid="{361672AA-123F-4C68-B6F6-B2C41AA83308}">
  <cacheSource type="external" connectionId="4"/>
  <cacheFields count="3">
    <cacheField name="[Measures].[Promedio móvil]" caption="Promedio móvil" numFmtId="0" hierarchy="28" level="32767"/>
    <cacheField name="[Fechas].[Año].[Año]" caption="Año" numFmtId="0" hierarchy="7" level="1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Fechas].[Año].&amp;[2017]"/>
            <x15:cachedUniqueName index="1" name="[Fechas].[Año].&amp;[2018]"/>
            <x15:cachedUniqueName index="2" name="[Fechas].[Año].&amp;[2019]"/>
            <x15:cachedUniqueName index="3" name="[Fechas].[Año].&amp;[2020]"/>
            <x15:cachedUniqueName index="4" name="[Fechas].[Año].&amp;[2021]"/>
            <x15:cachedUniqueName index="5" name="[Fechas].[Año].&amp;[2022]"/>
            <x15:cachedUniqueName index="6" name="[Fechas].[Año].&amp;[2023]"/>
            <x15:cachedUniqueName index="7" name="[Fechas].[Año].&amp;[2024]"/>
            <x15:cachedUniqueName index="8" name="[Fechas].[Año].&amp;[2025]"/>
          </x15:cachedUniqueNames>
        </ext>
      </extLst>
    </cacheField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2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>
      <fieldsUsage count="2">
        <fieldUsage x="-1"/>
        <fieldUsage x="1"/>
      </fieldsUsage>
    </cacheHierarchy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 oneField="1">
      <fieldsUsage count="1">
        <fieldUsage x="0"/>
      </fieldsUsage>
    </cacheHierarchy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5254626" backgroundQuery="1" createdVersion="8" refreshedVersion="8" minRefreshableVersion="3" recordCount="0" supportSubquery="1" supportAdvancedDrill="1" xr:uid="{72EF1F65-9DBB-404F-9E88-CAA83FE4584F}">
  <cacheSource type="external" connectionId="4"/>
  <cacheFields count="4">
    <cacheField name="[Fechas].[Mes nombre].[Mes nombre]" caption="Mes nombre" numFmtId="0" hierarchy="10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  <extLst>
        <ext xmlns:x15="http://schemas.microsoft.com/office/spreadsheetml/2010/11/main" uri="{4F2E5C28-24EA-4eb8-9CBF-B6C8F9C3D259}">
          <x15:cachedUniqueNames>
            <x15:cachedUniqueName index="0" name="[Fechas].[Mes nombre].&amp;[abril]"/>
            <x15:cachedUniqueName index="1" name="[Fechas].[Mes nombre].&amp;[agosto]"/>
            <x15:cachedUniqueName index="2" name="[Fechas].[Mes nombre].&amp;[diciembre]"/>
            <x15:cachedUniqueName index="3" name="[Fechas].[Mes nombre].&amp;[enero]"/>
            <x15:cachedUniqueName index="4" name="[Fechas].[Mes nombre].&amp;[febrero]"/>
            <x15:cachedUniqueName index="5" name="[Fechas].[Mes nombre].&amp;[julio]"/>
            <x15:cachedUniqueName index="6" name="[Fechas].[Mes nombre].&amp;[junio]"/>
            <x15:cachedUniqueName index="7" name="[Fechas].[Mes nombre].&amp;[marzo]"/>
            <x15:cachedUniqueName index="8" name="[Fechas].[Mes nombre].&amp;[mayo]"/>
            <x15:cachedUniqueName index="9" name="[Fechas].[Mes nombre].&amp;[noviembre]"/>
            <x15:cachedUniqueName index="10" name="[Fechas].[Mes nombre].&amp;[octubre]"/>
            <x15:cachedUniqueName index="11" name="[Fechas].[Mes nombre].&amp;[septiembre]"/>
          </x15:cachedUniqueNames>
        </ext>
      </extLst>
    </cacheField>
    <cacheField name="[Medio].[Medio].[Medio]" caption="Medio" numFmtId="0" hierarchy="12" level="1">
      <sharedItems count="4">
        <s v="Crédito"/>
        <s v="Débito"/>
        <s v="Efectivo"/>
        <s v="Otros"/>
      </sharedItems>
      <extLst>
        <ext xmlns:x15="http://schemas.microsoft.com/office/spreadsheetml/2010/11/main" uri="{4F2E5C28-24EA-4eb8-9CBF-B6C8F9C3D259}">
          <x15:cachedUniqueNames>
            <x15:cachedUniqueName index="0" name="[Medio].[Medio].&amp;[Crédito]"/>
            <x15:cachedUniqueName index="1" name="[Medio].[Medio].&amp;[Débito]"/>
            <x15:cachedUniqueName index="2" name="[Medio].[Medio].&amp;[Efectivo]"/>
            <x15:cachedUniqueName index="3" name="[Medio].[Medio].&amp;[Otros]"/>
          </x15:cachedUniqueNames>
        </ext>
      </extLst>
    </cacheField>
    <cacheField name="[Measures].[Participación del medio]" caption="Participación del medio" numFmtId="0" hierarchy="24" level="32767"/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3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0" memberValueDatatype="7" unbalanced="0"/>
    <cacheHierarchy uniqueName="[Fechas].[Año]" caption="Año" attribute="1" time="1" defaultMemberUniqueName="[Fechas].[Año].[All]" allUniqueName="[Fechas].[Año].[All]" dimensionUniqueName="[Fechas]" displayFolder="" count="0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>
      <fieldsUsage count="2">
        <fieldUsage x="-1"/>
        <fieldUsage x="0"/>
      </fieldsUsage>
    </cacheHierarchy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>
      <fieldsUsage count="2">
        <fieldUsage x="-1"/>
        <fieldUsage x="1"/>
      </fieldsUsage>
    </cacheHierarchy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 oneField="1">
      <fieldsUsage count="1">
        <fieldUsage x="2"/>
      </fieldsUsage>
    </cacheHierarchy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560185" backgroundQuery="1" createdVersion="8" refreshedVersion="8" minRefreshableVersion="3" recordCount="0" supportSubquery="1" supportAdvancedDrill="1" xr:uid="{7F66A864-E37D-4E4A-83F3-ED0793D05654}">
  <cacheSource type="external" connectionId="4"/>
  <cacheFields count="4">
    <cacheField name="[Fechas].[Año].[Año]" caption="Año" numFmtId="0" hierarchy="7" level="1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Fechas].[Año].&amp;[2017]"/>
            <x15:cachedUniqueName index="1" name="[Fechas].[Año].&amp;[2018]"/>
            <x15:cachedUniqueName index="2" name="[Fechas].[Año].&amp;[2019]"/>
            <x15:cachedUniqueName index="3" name="[Fechas].[Año].&amp;[2020]"/>
            <x15:cachedUniqueName index="4" name="[Fechas].[Año].&amp;[2021]"/>
            <x15:cachedUniqueName index="5" name="[Fechas].[Año].&amp;[2022]"/>
            <x15:cachedUniqueName index="6" name="[Fechas].[Año].&amp;[2023]"/>
            <x15:cachedUniqueName index="7" name="[Fechas].[Año].&amp;[2024]"/>
            <x15:cachedUniqueName index="8" name="[Fechas].[Año].&amp;[2025]"/>
          </x15:cachedUniqueNames>
        </ext>
      </extLst>
    </cacheField>
    <cacheField name="[Measures].[Ventas totales por medio]" caption="Ventas totales por medio" numFmtId="0" hierarchy="20" level="32767"/>
    <cacheField name="[Medio].[Medio].[Medio]" caption="Medio" numFmtId="0" hierarchy="12" level="1">
      <sharedItems count="4">
        <s v="Crédito"/>
        <s v="Débito"/>
        <s v="Efectivo"/>
        <s v="Otros"/>
      </sharedItems>
      <extLst>
        <ext xmlns:x15="http://schemas.microsoft.com/office/spreadsheetml/2010/11/main" uri="{4F2E5C28-24EA-4eb8-9CBF-B6C8F9C3D259}">
          <x15:cachedUniqueNames>
            <x15:cachedUniqueName index="0" name="[Medio].[Medio].&amp;[Crédito]"/>
            <x15:cachedUniqueName index="1" name="[Medio].[Medio].&amp;[Débito]"/>
            <x15:cachedUniqueName index="2" name="[Medio].[Medio].&amp;[Efectivo]"/>
            <x15:cachedUniqueName index="3" name="[Medio].[Medio].&amp;[Otros]"/>
          </x15:cachedUniqueNames>
        </ext>
      </extLst>
    </cacheField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3"/>
      </fieldsUsage>
    </cacheHierarchy>
    <cacheHierarchy uniqueName="[Canal].[Canal]" caption="Canal" attribute="1" defaultMemberUniqueName="[Canal].[Canal].[All]" allUniqueName="[Canal].[Canal].[All]" dimensionUniqueName="[Canal]" displayFolder="" count="2" memberValueDatatype="130" unbalanced="0"/>
    <cacheHierarchy uniqueName="[Canal].[Ventas]" caption="Ventas" attribute="1" defaultMemberUniqueName="[Canal].[Ventas].[All]" allUniqueName="[Canal].[Ventas].[All]" dimensionUniqueName="[Canal]" displayFolder="" count="2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2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2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2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>
      <fieldsUsage count="2">
        <fieldUsage x="-1"/>
        <fieldUsage x="0"/>
      </fieldsUsage>
    </cacheHierarchy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2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>
      <fieldsUsage count="2">
        <fieldUsage x="-1"/>
        <fieldUsage x="2"/>
      </fieldsUsage>
    </cacheHierarchy>
    <cacheHierarchy uniqueName="[Medio].[Ventas]" caption="Ventas" attribute="1" defaultMemberUniqueName="[Medio].[Ventas].[All]" allUniqueName="[Medio].[Ventas].[All]" dimensionUniqueName="[Medio]" displayFolder="" count="2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2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2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2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2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 oneField="1">
      <fieldsUsage count="1">
        <fieldUsage x="1"/>
      </fieldsUsage>
    </cacheHierarchy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14915856482" backgroundQuery="1" createdVersion="3" refreshedVersion="8" minRefreshableVersion="3" recordCount="0" supportSubquery="1" supportAdvancedDrill="1" xr:uid="{F9033DBD-C0A4-48CF-8BA0-60B329516CDE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Canal].[Fecha]" caption="Fecha" attribute="1" time="1" defaultMemberUniqueName="[Canal].[Fecha].[All]" allUniqueName="[Canal].[Fecha].[All]" dimensionUniqueName="[Canal]" displayFolder="" count="0" memberValueDatatype="7" unbalanced="0"/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0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0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78359464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A437-C31B-4211-B3C2-BA1021D281FF}" name="TablaDinámica16" cacheId="5" applyNumberFormats="0" applyBorderFormats="0" applyFontFormats="0" applyPatternFormats="0" applyAlignmentFormats="0" applyWidthHeightFormats="1" dataCaption="Valores" tag="f41f1071-e738-4c60-b417-d084d8f270b7" updatedVersion="8" minRefreshableVersion="5" useAutoFormatting="1" rowGrandTotals="0" colGrandTotals="0" itemPrintTitles="1" createdVersion="8" indent="0" outline="1" outlineData="1" multipleFieldFilters="0" chartFormat="16" rowHeaderCaption="Año" colHeaderCaption="Medio">
  <location ref="AA2:AE15" firstHeaderRow="1" firstDataRow="2" firstDataCol="1"/>
  <pivotFields count="4">
    <pivotField axis="axisRow" allDrilled="1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fld="2" subtotal="count" baseField="0" baseItem="0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3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  <x15:activeTabTopLevelEntity name="[Fec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890EA-2D92-4BD2-BC7D-B84750EFD0DA}" name="TablaDinámica15" cacheId="4" applyNumberFormats="0" applyBorderFormats="0" applyFontFormats="0" applyPatternFormats="0" applyAlignmentFormats="0" applyWidthHeightFormats="1" dataCaption="Valores" tag="3b4dd8ff-67a9-40ea-aa6d-55d8b3987cbb" updatedVersion="8" minRefreshableVersion="5" useAutoFormatting="1" rowGrandTotals="0" colGrandTotals="0" itemPrintTitles="1" createdVersion="8" indent="0" outline="1" outlineData="1" multipleFieldFilters="0" chartFormat="26" rowHeaderCaption="Año">
  <location ref="W2:X1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fld="0" subtotal="count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2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  <x15:activeTabTopLevelEntity name="[Fec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58D36-BB51-4445-A8A9-E71E028C45F3}" name="TablaDinámica14" cacheId="3" applyNumberFormats="0" applyBorderFormats="0" applyFontFormats="0" applyPatternFormats="0" applyAlignmentFormats="0" applyWidthHeightFormats="1" dataCaption="Valores" tag="644c0a49-5d63-4e5c-927e-6371cec0039e" updatedVersion="8" minRefreshableVersion="5" useAutoFormatting="1" rowGrandTotals="0" colGrandTotals="0" itemPrintTitles="1" createdVersion="8" indent="0" outline="1" outlineData="1" multipleFieldFilters="0" rowHeaderCaption="Año">
  <location ref="T2:T3" firstHeaderRow="1" firstDataRow="1" firstDataCol="0"/>
  <pivotFields count="2">
    <pivotField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0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  <x15:activeTabTopLevelEntity name="[Fec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2C063-61B1-40B7-8C32-232A767B847E}" name="TablaDinámica8" cacheId="6" applyNumberFormats="0" applyBorderFormats="0" applyFontFormats="0" applyPatternFormats="0" applyAlignmentFormats="0" applyWidthHeightFormats="1" dataCaption="Valores" tag="46cf69cd-33c6-4fcc-bd09-7c8945137428" updatedVersion="8" minRefreshableVersion="5" useAutoFormatting="1" subtotalHiddenItems="1" rowGrandTotals="0" colGrandTotals="0" itemPrintTitles="1" createdVersion="8" indent="0" outline="1" outlineData="1" multipleFieldFilters="0" chartFormat="31" rowHeaderCaption="Año" colHeaderCaption="Medio">
  <location ref="G2:K12" firstHeaderRow="1" firstDataRow="2" firstDataCol="1"/>
  <pivotFields count="4">
    <pivotField axis="axisRow" allDrilled="1" subtotalTop="0" showAll="0" sortType="descending" defaultSubtotal="0" defaultAttributeDrillState="1">
      <items count="9"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Ventas totales" fld="1" subtotal="count" showDataAs="percentOfRow" baseField="0" baseItem="0" numFmtId="10"/>
  </dataFields>
  <chartFormats count="4"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3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chas]"/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6B962-1066-4D45-8422-3E40957BEA98}" name="TablaDinámica13" cacheId="2" applyNumberFormats="0" applyBorderFormats="0" applyFontFormats="0" applyPatternFormats="0" applyAlignmentFormats="0" applyWidthHeightFormats="1" dataCaption="Valores" tag="dbdbd422-d90e-4a97-ac8c-5c4febe5ff07" updatedVersion="8" minRefreshableVersion="5" useAutoFormatting="1" rowGrandTotals="0" colGrandTotals="0" itemPrintTitles="1" createdVersion="8" indent="0" outline="1" outlineData="1" multipleFieldFilters="0">
  <location ref="Q2:Q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1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71CAF-AC40-416C-B4A1-02953D50EBAD}" name="TablaDinámica10" cacheId="1" applyNumberFormats="0" applyBorderFormats="0" applyFontFormats="0" applyPatternFormats="0" applyAlignmentFormats="0" applyWidthHeightFormats="1" dataCaption="Valores" tag="ac967555-688d-4f79-aa10-c894c2c89981" updatedVersion="8" minRefreshableVersion="5" useAutoFormatting="1" subtotalHiddenItems="1" rowGrandTotals="0" colGrandTotals="0" itemPrintTitles="1" createdVersion="8" indent="0" outline="1" outlineData="1" multipleFieldFilters="0" rowHeaderCaption="Fecha">
  <location ref="N2:N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1" type="dateBetween" evalOrder="-1" id="20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al]"/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FA910-6649-4EFD-B63D-5623674819FF}" name="TablaDinámica1" cacheId="0" applyNumberFormats="0" applyBorderFormats="0" applyFontFormats="0" applyPatternFormats="0" applyAlignmentFormats="0" applyWidthHeightFormats="1" dataCaption="Valores" tag="0b26080a-0135-4594-80d4-3a9447049bef" updatedVersion="8" minRefreshableVersion="5" useAutoFormatting="1" rowGrandTotals="0" colGrandTotals="0" itemPrintTitles="1" createdVersion="8" indent="0" outline="1" outlineData="1" multipleFieldFilters="0" chartFormat="39">
  <location ref="B2:D12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2">
    <i>
      <x/>
    </i>
    <i>
      <x v="1"/>
    </i>
  </colItems>
  <dataFields count="1">
    <dataField fld="2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rowHierarchiesUsage count="1">
    <rowHierarchyUsage hierarchyUsage="7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chas]"/>
        <x15:activeTabTopLevelEntity name="[Canal]"/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s" xr10:uid="{7BC3A06F-1E11-480E-AC64-CB1294A77EBF}" sourceName="[Fechas].[Fechas]">
  <pivotTables>
    <pivotTable tabId="3" name="TablaDinámica1"/>
    <pivotTable tabId="3" name="TablaDinámica10"/>
    <pivotTable tabId="3" name="TablaDinámica13"/>
    <pivotTable tabId="3" name="TablaDinámica14"/>
    <pivotTable tabId="3" name="TablaDinámica15"/>
    <pivotTable tabId="3" name="TablaDinámica16"/>
    <pivotTable tabId="3" name="TablaDinámica8"/>
  </pivotTables>
  <state minimalRefreshVersion="6" lastRefreshVersion="6" pivotCacheId="783594642" filterType="unknown">
    <bounds startDate="2017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s" xr10:uid="{B4F173F0-1FB3-45E3-AE3A-297B97E6E461}" cache="Timeline_Fechas" caption="Fechas" level="0" selectionLevel="0" scrollPosition="2017-01-01T00:00:00" style="TimeSlicerStyleLight3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66D8-AB56-4CFA-AC93-376FA403F53D}">
  <sheetPr>
    <pageSetUpPr fitToPage="1"/>
  </sheetPr>
  <dimension ref="R31:V44"/>
  <sheetViews>
    <sheetView tabSelected="1" topLeftCell="R21" workbookViewId="0">
      <selection activeCell="AC40" sqref="AC40"/>
    </sheetView>
  </sheetViews>
  <sheetFormatPr baseColWidth="10" defaultRowHeight="15" x14ac:dyDescent="0.25"/>
  <cols>
    <col min="1" max="17" width="11.42578125" style="10"/>
    <col min="18" max="18" width="11.42578125" style="10" customWidth="1"/>
    <col min="19" max="16384" width="11.42578125" style="10"/>
  </cols>
  <sheetData>
    <row r="31" spans="18:22" x14ac:dyDescent="0.25">
      <c r="R31" s="11" t="s">
        <v>32</v>
      </c>
      <c r="S31" s="11"/>
      <c r="T31" s="11"/>
      <c r="U31" s="11"/>
      <c r="V31" s="11"/>
    </row>
    <row r="32" spans="18:22" x14ac:dyDescent="0.25">
      <c r="R32" s="13" t="str" cm="1">
        <f t="array" ref="R32:V44">+Análisis!AA3:AE15</f>
        <v>Año</v>
      </c>
      <c r="S32" s="14" t="str">
        <v>Crédito</v>
      </c>
      <c r="T32" s="13" t="str">
        <v>Débito</v>
      </c>
      <c r="U32" s="13" t="str">
        <v>Efectivo</v>
      </c>
      <c r="V32" s="12" t="str">
        <v>Otros</v>
      </c>
    </row>
    <row r="33" spans="18:22" x14ac:dyDescent="0.25">
      <c r="R33" s="15" t="str">
        <v>enero</v>
      </c>
      <c r="S33" s="16">
        <v>0.19453895720972825</v>
      </c>
      <c r="T33" s="17">
        <v>0.21691954305530894</v>
      </c>
      <c r="U33" s="17">
        <v>0.28186516679721646</v>
      </c>
      <c r="V33" s="18">
        <v>0.30667633293774638</v>
      </c>
    </row>
    <row r="34" spans="18:22" x14ac:dyDescent="0.25">
      <c r="R34" s="15" t="str">
        <v>febrero</v>
      </c>
      <c r="S34" s="16">
        <v>0.31407217647697194</v>
      </c>
      <c r="T34" s="17">
        <v>0.18013490148274972</v>
      </c>
      <c r="U34" s="17">
        <v>0.30450459279784331</v>
      </c>
      <c r="V34" s="18">
        <v>0.20128832924243498</v>
      </c>
    </row>
    <row r="35" spans="18:22" x14ac:dyDescent="0.25">
      <c r="R35" s="15" t="str">
        <v>marzo</v>
      </c>
      <c r="S35" s="16">
        <v>0.13363549039268921</v>
      </c>
      <c r="T35" s="17">
        <v>0.26170391110447949</v>
      </c>
      <c r="U35" s="17">
        <v>0.40619429082084135</v>
      </c>
      <c r="V35" s="18">
        <v>0.19846630768198992</v>
      </c>
    </row>
    <row r="36" spans="18:22" x14ac:dyDescent="0.25">
      <c r="R36" s="15" t="str">
        <v>abril</v>
      </c>
      <c r="S36" s="16">
        <v>0.22331084101808843</v>
      </c>
      <c r="T36" s="17">
        <v>0.24329529295741256</v>
      </c>
      <c r="U36" s="17">
        <v>0.32998152234148309</v>
      </c>
      <c r="V36" s="18">
        <v>0.20341234368301597</v>
      </c>
    </row>
    <row r="37" spans="18:22" x14ac:dyDescent="0.25">
      <c r="R37" s="15" t="str">
        <v>mayo</v>
      </c>
      <c r="S37" s="16">
        <v>0.24230048100000662</v>
      </c>
      <c r="T37" s="17">
        <v>0.35187001690242153</v>
      </c>
      <c r="U37" s="17">
        <v>0.22010455540630294</v>
      </c>
      <c r="V37" s="18">
        <v>0.18572494669126885</v>
      </c>
    </row>
    <row r="38" spans="18:22" x14ac:dyDescent="0.25">
      <c r="R38" s="15" t="str">
        <v>junio</v>
      </c>
      <c r="S38" s="16">
        <v>0.17740629502849559</v>
      </c>
      <c r="T38" s="17">
        <v>0.29133140533451457</v>
      </c>
      <c r="U38" s="17">
        <v>0.36631270226730051</v>
      </c>
      <c r="V38" s="18">
        <v>0.16494959736968937</v>
      </c>
    </row>
    <row r="39" spans="18:22" x14ac:dyDescent="0.25">
      <c r="R39" s="15" t="str">
        <v>julio</v>
      </c>
      <c r="S39" s="16">
        <v>0.17598147443898948</v>
      </c>
      <c r="T39" s="17">
        <v>0.17356322924337139</v>
      </c>
      <c r="U39" s="17">
        <v>0.40513195964490095</v>
      </c>
      <c r="V39" s="18">
        <v>0.24532333667273815</v>
      </c>
    </row>
    <row r="40" spans="18:22" x14ac:dyDescent="0.25">
      <c r="R40" s="15" t="str">
        <v>agosto</v>
      </c>
      <c r="S40" s="16">
        <v>0.30572254368716117</v>
      </c>
      <c r="T40" s="17">
        <v>0.20349055314892237</v>
      </c>
      <c r="U40" s="17">
        <v>0.2620244526452602</v>
      </c>
      <c r="V40" s="18">
        <v>0.22876245051865629</v>
      </c>
    </row>
    <row r="41" spans="18:22" x14ac:dyDescent="0.25">
      <c r="R41" s="15" t="str">
        <v>septiembre</v>
      </c>
      <c r="S41" s="16">
        <v>0.26488442943380247</v>
      </c>
      <c r="T41" s="17">
        <v>0.20041445837731545</v>
      </c>
      <c r="U41" s="17">
        <v>0.30708225314541193</v>
      </c>
      <c r="V41" s="18">
        <v>0.22761885904347018</v>
      </c>
    </row>
    <row r="42" spans="18:22" x14ac:dyDescent="0.25">
      <c r="R42" s="15" t="str">
        <v>octubre</v>
      </c>
      <c r="S42" s="16">
        <v>0.37841273511852996</v>
      </c>
      <c r="T42" s="17">
        <v>0.16028668443558036</v>
      </c>
      <c r="U42" s="17">
        <v>0.24897376731532159</v>
      </c>
      <c r="V42" s="18">
        <v>0.21232681313056806</v>
      </c>
    </row>
    <row r="43" spans="18:22" x14ac:dyDescent="0.25">
      <c r="R43" s="15" t="str">
        <v>noviembre</v>
      </c>
      <c r="S43" s="16">
        <v>0.35051087623178467</v>
      </c>
      <c r="T43" s="17">
        <v>0.22250326541829063</v>
      </c>
      <c r="U43" s="17">
        <v>0.25264689514265798</v>
      </c>
      <c r="V43" s="18">
        <v>0.17433896320726666</v>
      </c>
    </row>
    <row r="44" spans="18:22" x14ac:dyDescent="0.25">
      <c r="R44" s="15" t="str">
        <v>diciembre</v>
      </c>
      <c r="S44" s="16">
        <v>8.4022216072441439E-2</v>
      </c>
      <c r="T44" s="17">
        <v>0.29525461868233516</v>
      </c>
      <c r="U44" s="17">
        <v>0.51335178098554102</v>
      </c>
      <c r="V44" s="18">
        <v>0.10737138425968232</v>
      </c>
    </row>
  </sheetData>
  <conditionalFormatting sqref="S33:V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:V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V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:V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7:V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:V3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9:V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:V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1:V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:V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:V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4:V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2" orientation="landscape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0324-A869-4C99-A629-7AEE14027F25}">
  <dimension ref="B1:AF15"/>
  <sheetViews>
    <sheetView workbookViewId="0">
      <selection activeCell="C10" sqref="C10"/>
    </sheetView>
  </sheetViews>
  <sheetFormatPr baseColWidth="10" defaultRowHeight="15" x14ac:dyDescent="0.25"/>
  <cols>
    <col min="2" max="2" width="22.7109375" bestFit="1" customWidth="1"/>
    <col min="3" max="3" width="22.85546875" bestFit="1" customWidth="1"/>
    <col min="4" max="4" width="8.140625" bestFit="1" customWidth="1"/>
    <col min="5" max="5" width="11.42578125" style="7" customWidth="1"/>
    <col min="6" max="6" width="11.42578125" customWidth="1"/>
    <col min="7" max="7" width="13.85546875" bestFit="1" customWidth="1"/>
    <col min="8" max="8" width="8.85546875" bestFit="1" customWidth="1"/>
    <col min="9" max="9" width="7.140625" bestFit="1" customWidth="1"/>
    <col min="10" max="10" width="8.42578125" bestFit="1" customWidth="1"/>
    <col min="11" max="11" width="7.140625" bestFit="1" customWidth="1"/>
    <col min="12" max="12" width="11.42578125" style="7"/>
    <col min="14" max="14" width="19" bestFit="1" customWidth="1"/>
    <col min="15" max="15" width="11.42578125" style="7"/>
    <col min="17" max="17" width="14.28515625" bestFit="1" customWidth="1"/>
    <col min="18" max="18" width="11.42578125" style="7"/>
    <col min="20" max="20" width="32.7109375" bestFit="1" customWidth="1"/>
    <col min="21" max="21" width="11.42578125" style="7" customWidth="1"/>
    <col min="23" max="23" width="6.7109375" bestFit="1" customWidth="1"/>
    <col min="24" max="24" width="22.5703125" bestFit="1" customWidth="1"/>
    <col min="25" max="25" width="11.42578125" style="7"/>
    <col min="27" max="27" width="22.42578125" bestFit="1" customWidth="1"/>
    <col min="28" max="28" width="8.85546875" bestFit="1" customWidth="1"/>
    <col min="29" max="29" width="7.5703125" bestFit="1" customWidth="1"/>
    <col min="30" max="30" width="8.42578125" bestFit="1" customWidth="1"/>
    <col min="31" max="31" width="7.5703125" bestFit="1" customWidth="1"/>
    <col min="32" max="32" width="11.42578125" style="7"/>
  </cols>
  <sheetData>
    <row r="1" spans="2:31" x14ac:dyDescent="0.25">
      <c r="B1" s="6" t="s">
        <v>20</v>
      </c>
      <c r="C1" s="5"/>
      <c r="D1" s="5"/>
      <c r="G1" s="6" t="s">
        <v>24</v>
      </c>
      <c r="H1" s="5"/>
      <c r="I1" s="5"/>
      <c r="J1" s="5"/>
      <c r="K1" s="5"/>
      <c r="N1" s="6" t="s">
        <v>26</v>
      </c>
      <c r="Q1" s="6" t="s">
        <v>28</v>
      </c>
      <c r="T1" s="6" t="s">
        <v>31</v>
      </c>
      <c r="W1" s="6" t="s">
        <v>29</v>
      </c>
      <c r="X1" s="5"/>
      <c r="AA1" s="6" t="s">
        <v>30</v>
      </c>
      <c r="AB1" s="5"/>
      <c r="AC1" s="5"/>
      <c r="AD1" s="5"/>
      <c r="AE1" s="5"/>
    </row>
    <row r="2" spans="2:31" x14ac:dyDescent="0.25">
      <c r="B2" s="1" t="s">
        <v>35</v>
      </c>
      <c r="C2" s="1" t="s">
        <v>34</v>
      </c>
      <c r="G2" s="1" t="s">
        <v>23</v>
      </c>
      <c r="H2" s="1" t="s">
        <v>5</v>
      </c>
      <c r="N2" t="s">
        <v>25</v>
      </c>
      <c r="Q2" t="s">
        <v>27</v>
      </c>
      <c r="T2" t="s">
        <v>36</v>
      </c>
      <c r="W2" s="1" t="s">
        <v>18</v>
      </c>
      <c r="X2" t="s">
        <v>19</v>
      </c>
      <c r="AA2" s="1" t="s">
        <v>0</v>
      </c>
      <c r="AB2" s="1" t="s">
        <v>5</v>
      </c>
    </row>
    <row r="3" spans="2:31" x14ac:dyDescent="0.25">
      <c r="B3" s="1" t="s">
        <v>33</v>
      </c>
      <c r="C3" t="s">
        <v>21</v>
      </c>
      <c r="D3" t="s">
        <v>22</v>
      </c>
      <c r="G3" s="1" t="s">
        <v>18</v>
      </c>
      <c r="H3" t="s">
        <v>1</v>
      </c>
      <c r="I3" t="s">
        <v>2</v>
      </c>
      <c r="J3" t="s">
        <v>3</v>
      </c>
      <c r="K3" t="s">
        <v>4</v>
      </c>
      <c r="N3" s="3">
        <v>0.42050261391383642</v>
      </c>
      <c r="Q3" t="s">
        <v>3</v>
      </c>
      <c r="T3" s="3">
        <v>-0.24774963435131153</v>
      </c>
      <c r="W3" s="2">
        <v>2017</v>
      </c>
      <c r="X3" s="4">
        <v>3.0117296316521204E+16</v>
      </c>
      <c r="AA3" s="1" t="s">
        <v>18</v>
      </c>
      <c r="AB3" t="s">
        <v>1</v>
      </c>
      <c r="AC3" t="s">
        <v>2</v>
      </c>
      <c r="AD3" t="s">
        <v>3</v>
      </c>
      <c r="AE3" t="s">
        <v>4</v>
      </c>
    </row>
    <row r="4" spans="2:31" x14ac:dyDescent="0.25">
      <c r="B4" s="2">
        <v>2017</v>
      </c>
      <c r="C4" s="8">
        <v>5.6925457433591777E-7</v>
      </c>
      <c r="D4" s="8">
        <v>0.99999943074542574</v>
      </c>
      <c r="G4" s="2">
        <v>2025</v>
      </c>
      <c r="H4" s="8">
        <v>0.15193147442215219</v>
      </c>
      <c r="I4" s="8">
        <v>0.1466143033378137</v>
      </c>
      <c r="J4" s="8">
        <v>0.37519245988090205</v>
      </c>
      <c r="K4" s="8">
        <v>0.32626176235913218</v>
      </c>
      <c r="L4" s="9"/>
      <c r="W4" s="2">
        <v>2018</v>
      </c>
      <c r="X4" s="4">
        <v>3.7955689650082664E+16</v>
      </c>
      <c r="AA4" s="2" t="s">
        <v>9</v>
      </c>
      <c r="AB4" s="3">
        <v>0.19453895720972825</v>
      </c>
      <c r="AC4" s="3">
        <v>0.21691954305530894</v>
      </c>
      <c r="AD4" s="3">
        <v>0.28186516679721646</v>
      </c>
      <c r="AE4" s="3">
        <v>0.30667633293774638</v>
      </c>
    </row>
    <row r="5" spans="2:31" x14ac:dyDescent="0.25">
      <c r="B5" s="2">
        <v>2018</v>
      </c>
      <c r="C5" s="8">
        <v>0.28092463776898063</v>
      </c>
      <c r="D5" s="8">
        <v>0.71907536223101942</v>
      </c>
      <c r="G5" s="2">
        <v>2024</v>
      </c>
      <c r="H5" s="8">
        <v>7.6869627821951572E-2</v>
      </c>
      <c r="I5" s="8">
        <v>0.38614338785061281</v>
      </c>
      <c r="J5" s="8">
        <v>0.33097338668541137</v>
      </c>
      <c r="K5" s="8">
        <v>0.20601359764202434</v>
      </c>
      <c r="W5" s="2">
        <v>2019</v>
      </c>
      <c r="X5" s="4">
        <v>4.8170818942288928E+16</v>
      </c>
      <c r="AA5" s="2" t="s">
        <v>10</v>
      </c>
      <c r="AB5" s="3">
        <v>0.31407217647697194</v>
      </c>
      <c r="AC5" s="3">
        <v>0.18013490148274972</v>
      </c>
      <c r="AD5" s="3">
        <v>0.30450459279784331</v>
      </c>
      <c r="AE5" s="3">
        <v>0.20128832924243498</v>
      </c>
    </row>
    <row r="6" spans="2:31" x14ac:dyDescent="0.25">
      <c r="B6" s="2">
        <v>2019</v>
      </c>
      <c r="C6" s="8">
        <v>0.20034622155665288</v>
      </c>
      <c r="D6" s="8">
        <v>0.79965377844334706</v>
      </c>
      <c r="G6" s="2">
        <v>2023</v>
      </c>
      <c r="H6" s="8">
        <v>0.24608708891514014</v>
      </c>
      <c r="I6" s="8">
        <v>0.23226086893542777</v>
      </c>
      <c r="J6" s="8">
        <v>0.26729022882427306</v>
      </c>
      <c r="K6" s="8">
        <v>0.25436181332515906</v>
      </c>
      <c r="W6" s="2">
        <v>2020</v>
      </c>
      <c r="X6" s="4">
        <v>6.5486552721189064E+16</v>
      </c>
      <c r="AA6" s="2" t="s">
        <v>13</v>
      </c>
      <c r="AB6" s="3">
        <v>0.13363549039268921</v>
      </c>
      <c r="AC6" s="3">
        <v>0.26170391110447949</v>
      </c>
      <c r="AD6" s="3">
        <v>0.40619429082084135</v>
      </c>
      <c r="AE6" s="3">
        <v>0.19846630768198992</v>
      </c>
    </row>
    <row r="7" spans="2:31" x14ac:dyDescent="0.25">
      <c r="B7" s="2">
        <v>2020</v>
      </c>
      <c r="C7" s="8">
        <v>0.64163740924137014</v>
      </c>
      <c r="D7" s="8">
        <v>0.35836259075862997</v>
      </c>
      <c r="G7" s="2">
        <v>2022</v>
      </c>
      <c r="H7" s="8">
        <v>0.13612737054456395</v>
      </c>
      <c r="I7" s="8">
        <v>0.2412925519897888</v>
      </c>
      <c r="J7" s="8">
        <v>0.47512756829006175</v>
      </c>
      <c r="K7" s="8">
        <v>0.14745250917558544</v>
      </c>
      <c r="W7" s="2">
        <v>2021</v>
      </c>
      <c r="X7" s="4">
        <v>4.7461067137963248E+16</v>
      </c>
      <c r="AA7" s="2" t="s">
        <v>6</v>
      </c>
      <c r="AB7" s="3">
        <v>0.22331084101808843</v>
      </c>
      <c r="AC7" s="3">
        <v>0.24329529295741256</v>
      </c>
      <c r="AD7" s="3">
        <v>0.32998152234148309</v>
      </c>
      <c r="AE7" s="3">
        <v>0.20341234368301597</v>
      </c>
    </row>
    <row r="8" spans="2:31" x14ac:dyDescent="0.25">
      <c r="B8" s="2">
        <v>2021</v>
      </c>
      <c r="C8" s="8">
        <v>0.65842680127821507</v>
      </c>
      <c r="D8" s="8">
        <v>0.34157319872178499</v>
      </c>
      <c r="G8" s="2">
        <v>2021</v>
      </c>
      <c r="H8" s="8">
        <v>0.3278391391017762</v>
      </c>
      <c r="I8" s="8">
        <v>0.26960191092103547</v>
      </c>
      <c r="J8" s="8">
        <v>0.31142884850451907</v>
      </c>
      <c r="K8" s="8">
        <v>9.1130101472669242E-2</v>
      </c>
      <c r="W8" s="2">
        <v>2022</v>
      </c>
      <c r="X8" s="4">
        <v>3.825271876696708E+16</v>
      </c>
      <c r="AA8" s="2" t="s">
        <v>14</v>
      </c>
      <c r="AB8" s="3">
        <v>0.24230048100000662</v>
      </c>
      <c r="AC8" s="3">
        <v>0.35187001690242153</v>
      </c>
      <c r="AD8" s="3">
        <v>0.22010455540630294</v>
      </c>
      <c r="AE8" s="3">
        <v>0.18572494669126885</v>
      </c>
    </row>
    <row r="9" spans="2:31" x14ac:dyDescent="0.25">
      <c r="B9" s="2">
        <v>2022</v>
      </c>
      <c r="C9" s="8">
        <v>0.43547469651756804</v>
      </c>
      <c r="D9" s="8">
        <v>0.56452530348243213</v>
      </c>
      <c r="G9" s="2">
        <v>2020</v>
      </c>
      <c r="H9" s="8">
        <v>0.3507085599679951</v>
      </c>
      <c r="I9" s="8">
        <v>0.23189411644519356</v>
      </c>
      <c r="J9" s="8">
        <v>0.33899130683263101</v>
      </c>
      <c r="K9" s="8">
        <v>7.8406016754180352E-2</v>
      </c>
      <c r="W9" s="2">
        <v>2023</v>
      </c>
      <c r="X9" s="4">
        <v>4.0308596615577936E+16</v>
      </c>
      <c r="AA9" s="2" t="s">
        <v>12</v>
      </c>
      <c r="AB9" s="3">
        <v>0.17740629502849559</v>
      </c>
      <c r="AC9" s="3">
        <v>0.29133140533451457</v>
      </c>
      <c r="AD9" s="3">
        <v>0.36631270226730051</v>
      </c>
      <c r="AE9" s="3">
        <v>0.16494959736968937</v>
      </c>
    </row>
    <row r="10" spans="2:31" x14ac:dyDescent="0.25">
      <c r="B10" s="2">
        <v>2023</v>
      </c>
      <c r="C10" s="8">
        <v>0.51548937286788687</v>
      </c>
      <c r="D10" s="8">
        <v>0.48451062713211301</v>
      </c>
      <c r="G10" s="2">
        <v>2019</v>
      </c>
      <c r="H10" s="8">
        <v>0.23070253149456055</v>
      </c>
      <c r="I10" s="8">
        <v>0.2019631655444297</v>
      </c>
      <c r="J10" s="8">
        <v>0.30412125585339123</v>
      </c>
      <c r="K10" s="8">
        <v>0.2632130471076185</v>
      </c>
      <c r="W10" s="2">
        <v>2024</v>
      </c>
      <c r="X10" s="4">
        <v>6.1787912551025504E+16</v>
      </c>
      <c r="AA10" s="2" t="s">
        <v>11</v>
      </c>
      <c r="AB10" s="3">
        <v>0.17598147443898948</v>
      </c>
      <c r="AC10" s="3">
        <v>0.17356322924337139</v>
      </c>
      <c r="AD10" s="3">
        <v>0.40513195964490095</v>
      </c>
      <c r="AE10" s="3">
        <v>0.24532333667273815</v>
      </c>
    </row>
    <row r="11" spans="2:31" x14ac:dyDescent="0.25">
      <c r="B11" s="2">
        <v>2024</v>
      </c>
      <c r="C11" s="8">
        <v>0.5667726457430371</v>
      </c>
      <c r="D11" s="8">
        <v>0.4332273542569629</v>
      </c>
      <c r="G11" s="2">
        <v>2018</v>
      </c>
      <c r="H11" s="8">
        <v>0.31243752634031047</v>
      </c>
      <c r="I11" s="8">
        <v>0.18754893437628489</v>
      </c>
      <c r="J11" s="8">
        <v>0.29973538669536648</v>
      </c>
      <c r="K11" s="8">
        <v>0.20027815258803816</v>
      </c>
      <c r="W11" s="2">
        <v>2025</v>
      </c>
      <c r="X11" s="4">
        <v>4.9674019446675224E+16</v>
      </c>
      <c r="AA11" s="2" t="s">
        <v>7</v>
      </c>
      <c r="AB11" s="3">
        <v>0.30572254368716117</v>
      </c>
      <c r="AC11" s="3">
        <v>0.20349055314892237</v>
      </c>
      <c r="AD11" s="3">
        <v>0.2620244526452602</v>
      </c>
      <c r="AE11" s="3">
        <v>0.22876245051865629</v>
      </c>
    </row>
    <row r="12" spans="2:31" x14ac:dyDescent="0.25">
      <c r="B12" s="2">
        <v>2025</v>
      </c>
      <c r="C12" s="8">
        <v>0.40112461477162209</v>
      </c>
      <c r="D12" s="8">
        <v>0.5988753852283778</v>
      </c>
      <c r="G12" s="2">
        <v>2017</v>
      </c>
      <c r="H12" s="8">
        <v>0.21294782300847609</v>
      </c>
      <c r="I12" s="8">
        <v>0.19458953402662107</v>
      </c>
      <c r="J12" s="8">
        <v>0.26692652554707808</v>
      </c>
      <c r="K12" s="8">
        <v>0.32553611741782468</v>
      </c>
      <c r="AA12" s="2" t="s">
        <v>17</v>
      </c>
      <c r="AB12" s="3">
        <v>0.26488442943380247</v>
      </c>
      <c r="AC12" s="3">
        <v>0.20041445837731545</v>
      </c>
      <c r="AD12" s="3">
        <v>0.30708225314541193</v>
      </c>
      <c r="AE12" s="3">
        <v>0.22761885904347018</v>
      </c>
    </row>
    <row r="13" spans="2:31" x14ac:dyDescent="0.25">
      <c r="AA13" s="2" t="s">
        <v>16</v>
      </c>
      <c r="AB13" s="3">
        <v>0.37841273511852996</v>
      </c>
      <c r="AC13" s="3">
        <v>0.16028668443558036</v>
      </c>
      <c r="AD13" s="3">
        <v>0.24897376731532159</v>
      </c>
      <c r="AE13" s="3">
        <v>0.21232681313056806</v>
      </c>
    </row>
    <row r="14" spans="2:31" x14ac:dyDescent="0.25">
      <c r="AA14" s="2" t="s">
        <v>15</v>
      </c>
      <c r="AB14" s="3">
        <v>0.35051087623178467</v>
      </c>
      <c r="AC14" s="3">
        <v>0.22250326541829063</v>
      </c>
      <c r="AD14" s="3">
        <v>0.25264689514265798</v>
      </c>
      <c r="AE14" s="3">
        <v>0.17433896320726666</v>
      </c>
    </row>
    <row r="15" spans="2:31" x14ac:dyDescent="0.25">
      <c r="AA15" s="2" t="s">
        <v>8</v>
      </c>
      <c r="AB15" s="3">
        <v>8.4022216072441439E-2</v>
      </c>
      <c r="AC15" s="3">
        <v>0.29525461868233516</v>
      </c>
      <c r="AD15" s="3">
        <v>0.51335178098554102</v>
      </c>
      <c r="AE15" s="3">
        <v>0.10737138425968232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Props1.xml><?xml version="1.0" encoding="utf-8"?>
<ds:datastoreItem xmlns:ds="http://schemas.openxmlformats.org/officeDocument/2006/customXml" ds:itemID="{07E1C0EA-A283-4CEB-9118-8B8267292F66}">
  <ds:schemaRefs/>
</ds:datastoreItem>
</file>

<file path=customXml/itemProps2.xml><?xml version="1.0" encoding="utf-8"?>
<ds:datastoreItem xmlns:ds="http://schemas.openxmlformats.org/officeDocument/2006/customXml" ds:itemID="{8B1CF9A6-2E72-4A6A-A123-55C503005930}">
  <ds:schemaRefs/>
</ds:datastoreItem>
</file>

<file path=customXml/itemProps3.xml><?xml version="1.0" encoding="utf-8"?>
<ds:datastoreItem xmlns:ds="http://schemas.openxmlformats.org/officeDocument/2006/customXml" ds:itemID="{0A7FD58B-3C15-4A9C-A0A7-027083B43BF7}">
  <ds:schemaRefs/>
</ds:datastoreItem>
</file>

<file path=customXml/itemProps4.xml><?xml version="1.0" encoding="utf-8"?>
<ds:datastoreItem xmlns:ds="http://schemas.openxmlformats.org/officeDocument/2006/customXml" ds:itemID="{256441AE-CACE-4E49-923D-9FFDE732A735}">
  <ds:schemaRefs/>
</ds:datastoreItem>
</file>

<file path=customXml/itemProps5.xml><?xml version="1.0" encoding="utf-8"?>
<ds:datastoreItem xmlns:ds="http://schemas.openxmlformats.org/officeDocument/2006/customXml" ds:itemID="{50CBBBA6-A447-4094-95E4-AC3C97B47EA4}">
  <ds:schemaRefs/>
</ds:datastoreItem>
</file>

<file path=customXml/itemProps6.xml><?xml version="1.0" encoding="utf-8"?>
<ds:datastoreItem xmlns:ds="http://schemas.openxmlformats.org/officeDocument/2006/customXml" ds:itemID="{0DE8A1CE-02DD-4144-B53D-A2D3C2C24B6E}">
  <ds:schemaRefs/>
</ds:datastoreItem>
</file>

<file path=customXml/itemProps7.xml><?xml version="1.0" encoding="utf-8"?>
<ds:datastoreItem xmlns:ds="http://schemas.openxmlformats.org/officeDocument/2006/customXml" ds:itemID="{9903B4CC-1568-4713-A29F-BFDFAD9A0D7B}">
  <ds:schemaRefs/>
</ds:datastoreItem>
</file>

<file path=customXml/itemProps8.xml><?xml version="1.0" encoding="utf-8"?>
<ds:datastoreItem xmlns:ds="http://schemas.openxmlformats.org/officeDocument/2006/customXml" ds:itemID="{E5077656-252E-4E3C-A35E-69599124BD1F}">
  <ds:schemaRefs/>
</ds:datastoreItem>
</file>

<file path=customXml/itemProps9.xml><?xml version="1.0" encoding="utf-8"?>
<ds:datastoreItem xmlns:ds="http://schemas.openxmlformats.org/officeDocument/2006/customXml" ds:itemID="{B2A76932-2A24-44A5-AC63-5AA4ACB2D4BD}">
  <ds:schemaRefs/>
</ds:datastoreItem>
</file>

<file path=customXml/itemProps10.xml><?xml version="1.0" encoding="utf-8"?>
<ds:datastoreItem xmlns:ds="http://schemas.openxmlformats.org/officeDocument/2006/customXml" ds:itemID="{4CB29970-1DFB-4442-9433-46F11E26342A}">
  <ds:schemaRefs/>
</ds:datastoreItem>
</file>

<file path=customXml/itemProps11.xml><?xml version="1.0" encoding="utf-8"?>
<ds:datastoreItem xmlns:ds="http://schemas.openxmlformats.org/officeDocument/2006/customXml" ds:itemID="{FBB4F708-5F78-441E-8ED2-53EDFE0FA313}">
  <ds:schemaRefs/>
</ds:datastoreItem>
</file>

<file path=customXml/itemProps12.xml><?xml version="1.0" encoding="utf-8"?>
<ds:datastoreItem xmlns:ds="http://schemas.openxmlformats.org/officeDocument/2006/customXml" ds:itemID="{CD1691F9-03C6-452E-970E-F872C8E3CB96}">
  <ds:schemaRefs/>
</ds:datastoreItem>
</file>

<file path=customXml/itemProps13.xml><?xml version="1.0" encoding="utf-8"?>
<ds:datastoreItem xmlns:ds="http://schemas.openxmlformats.org/officeDocument/2006/customXml" ds:itemID="{04FBC6CA-528C-4B34-B243-9C865147A8EE}">
  <ds:schemaRefs/>
</ds:datastoreItem>
</file>

<file path=customXml/itemProps14.xml><?xml version="1.0" encoding="utf-8"?>
<ds:datastoreItem xmlns:ds="http://schemas.openxmlformats.org/officeDocument/2006/customXml" ds:itemID="{1B60976C-7FAC-40D2-B7DF-2E4A31EB1A92}">
  <ds:schemaRefs/>
</ds:datastoreItem>
</file>

<file path=customXml/itemProps15.xml><?xml version="1.0" encoding="utf-8"?>
<ds:datastoreItem xmlns:ds="http://schemas.openxmlformats.org/officeDocument/2006/customXml" ds:itemID="{91B48087-DD9E-48E4-8DB5-04ECA2BC9FCA}">
  <ds:schemaRefs/>
</ds:datastoreItem>
</file>

<file path=customXml/itemProps16.xml><?xml version="1.0" encoding="utf-8"?>
<ds:datastoreItem xmlns:ds="http://schemas.openxmlformats.org/officeDocument/2006/customXml" ds:itemID="{F1737233-B254-4FB5-8030-2BE4C7755C4B}">
  <ds:schemaRefs/>
</ds:datastoreItem>
</file>

<file path=customXml/itemProps17.xml><?xml version="1.0" encoding="utf-8"?>
<ds:datastoreItem xmlns:ds="http://schemas.openxmlformats.org/officeDocument/2006/customXml" ds:itemID="{9D744AAE-E4E0-4D73-9269-D4173CB2ADB6}">
  <ds:schemaRefs/>
</ds:datastoreItem>
</file>

<file path=customXml/itemProps18.xml><?xml version="1.0" encoding="utf-8"?>
<ds:datastoreItem xmlns:ds="http://schemas.openxmlformats.org/officeDocument/2006/customXml" ds:itemID="{EF4AB45C-EC5D-4928-8F4E-25C4B51E873C}">
  <ds:schemaRefs/>
</ds:datastoreItem>
</file>

<file path=customXml/itemProps19.xml><?xml version="1.0" encoding="utf-8"?>
<ds:datastoreItem xmlns:ds="http://schemas.openxmlformats.org/officeDocument/2006/customXml" ds:itemID="{20206CBE-3F94-4EFE-9C61-B78E7CECACCA}">
  <ds:schemaRefs/>
</ds:datastoreItem>
</file>

<file path=customXml/itemProps20.xml><?xml version="1.0" encoding="utf-8"?>
<ds:datastoreItem xmlns:ds="http://schemas.openxmlformats.org/officeDocument/2006/customXml" ds:itemID="{BE1A9FA4-A8DB-4FBC-BC0F-C1A461277245}">
  <ds:schemaRefs/>
</ds:datastoreItem>
</file>

<file path=customXml/itemProps21.xml><?xml version="1.0" encoding="utf-8"?>
<ds:datastoreItem xmlns:ds="http://schemas.openxmlformats.org/officeDocument/2006/customXml" ds:itemID="{4769734F-FDED-4530-8B73-649DAE7A2E5B}">
  <ds:schemaRefs/>
</ds:datastoreItem>
</file>

<file path=customXml/itemProps22.xml><?xml version="1.0" encoding="utf-8"?>
<ds:datastoreItem xmlns:ds="http://schemas.openxmlformats.org/officeDocument/2006/customXml" ds:itemID="{C4C20DCF-AAD6-4583-94FD-5447557CB667}">
  <ds:schemaRefs/>
</ds:datastoreItem>
</file>

<file path=customXml/itemProps23.xml><?xml version="1.0" encoding="utf-8"?>
<ds:datastoreItem xmlns:ds="http://schemas.openxmlformats.org/officeDocument/2006/customXml" ds:itemID="{108D2541-F82C-410A-B0CA-92D91BB558D6}">
  <ds:schemaRefs/>
</ds:datastoreItem>
</file>

<file path=customXml/itemProps24.xml><?xml version="1.0" encoding="utf-8"?>
<ds:datastoreItem xmlns:ds="http://schemas.openxmlformats.org/officeDocument/2006/customXml" ds:itemID="{D761E9CF-B49F-4627-AACC-B34AF8F77B60}">
  <ds:schemaRefs/>
</ds:datastoreItem>
</file>

<file path=customXml/itemProps25.xml><?xml version="1.0" encoding="utf-8"?>
<ds:datastoreItem xmlns:ds="http://schemas.openxmlformats.org/officeDocument/2006/customXml" ds:itemID="{353346CA-3940-4B6F-A929-A14F809178DD}">
  <ds:schemaRefs/>
</ds:datastoreItem>
</file>

<file path=customXml/itemProps26.xml><?xml version="1.0" encoding="utf-8"?>
<ds:datastoreItem xmlns:ds="http://schemas.openxmlformats.org/officeDocument/2006/customXml" ds:itemID="{0F52E599-7B56-426D-9116-73D23B26F10B}">
  <ds:schemaRefs/>
</ds:datastoreItem>
</file>

<file path=customXml/itemProps27.xml><?xml version="1.0" encoding="utf-8"?>
<ds:datastoreItem xmlns:ds="http://schemas.openxmlformats.org/officeDocument/2006/customXml" ds:itemID="{C8934CDE-17A6-4657-9296-16670EA9A65A}">
  <ds:schemaRefs/>
</ds:datastoreItem>
</file>

<file path=customXml/itemProps28.xml><?xml version="1.0" encoding="utf-8"?>
<ds:datastoreItem xmlns:ds="http://schemas.openxmlformats.org/officeDocument/2006/customXml" ds:itemID="{381D79B1-E846-41E7-A810-AE5B86F518AE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A093D27B-8416-4A2B-A90B-5130C14F5719}">
  <ds:schemaRefs/>
</ds:datastoreItem>
</file>

<file path=customXml/itemProps30.xml><?xml version="1.0" encoding="utf-8"?>
<ds:datastoreItem xmlns:ds="http://schemas.openxmlformats.org/officeDocument/2006/customXml" ds:itemID="{5881976B-AB8E-4061-9E70-8F8860F90196}">
  <ds:schemaRefs/>
</ds:datastoreItem>
</file>

<file path=customXml/itemProps31.xml><?xml version="1.0" encoding="utf-8"?>
<ds:datastoreItem xmlns:ds="http://schemas.openxmlformats.org/officeDocument/2006/customXml" ds:itemID="{8A3DA95E-AF76-447F-9FE7-F68B661ECC7A}">
  <ds:schemaRefs/>
</ds:datastoreItem>
</file>

<file path=customXml/itemProps32.xml><?xml version="1.0" encoding="utf-8"?>
<ds:datastoreItem xmlns:ds="http://schemas.openxmlformats.org/officeDocument/2006/customXml" ds:itemID="{7B56498B-4D75-426F-BCAE-9A59CE8FF960}">
  <ds:schemaRefs/>
</ds:datastoreItem>
</file>

<file path=customXml/itemProps33.xml><?xml version="1.0" encoding="utf-8"?>
<ds:datastoreItem xmlns:ds="http://schemas.openxmlformats.org/officeDocument/2006/customXml" ds:itemID="{0315A6E5-ADA9-49F4-8165-6B784CE95B6D}">
  <ds:schemaRefs/>
</ds:datastoreItem>
</file>

<file path=customXml/itemProps34.xml><?xml version="1.0" encoding="utf-8"?>
<ds:datastoreItem xmlns:ds="http://schemas.openxmlformats.org/officeDocument/2006/customXml" ds:itemID="{96AA2603-08A1-484C-A2FA-1F7E898A2B89}">
  <ds:schemaRefs/>
</ds:datastoreItem>
</file>

<file path=customXml/itemProps35.xml><?xml version="1.0" encoding="utf-8"?>
<ds:datastoreItem xmlns:ds="http://schemas.openxmlformats.org/officeDocument/2006/customXml" ds:itemID="{7901370A-6598-438F-B730-F09C4B12EAA0}">
  <ds:schemaRefs/>
</ds:datastoreItem>
</file>

<file path=customXml/itemProps36.xml><?xml version="1.0" encoding="utf-8"?>
<ds:datastoreItem xmlns:ds="http://schemas.openxmlformats.org/officeDocument/2006/customXml" ds:itemID="{D49945CA-F73A-41DD-9657-6D7C1BBE8845}">
  <ds:schemaRefs/>
</ds:datastoreItem>
</file>

<file path=customXml/itemProps37.xml><?xml version="1.0" encoding="utf-8"?>
<ds:datastoreItem xmlns:ds="http://schemas.openxmlformats.org/officeDocument/2006/customXml" ds:itemID="{2C625243-C1C5-4D64-B432-BD5E13EF022C}">
  <ds:schemaRefs/>
</ds:datastoreItem>
</file>

<file path=customXml/itemProps38.xml><?xml version="1.0" encoding="utf-8"?>
<ds:datastoreItem xmlns:ds="http://schemas.openxmlformats.org/officeDocument/2006/customXml" ds:itemID="{D5FD475C-DC74-4CD1-88BC-F2A66814A8F2}">
  <ds:schemaRefs/>
</ds:datastoreItem>
</file>

<file path=customXml/itemProps39.xml><?xml version="1.0" encoding="utf-8"?>
<ds:datastoreItem xmlns:ds="http://schemas.openxmlformats.org/officeDocument/2006/customXml" ds:itemID="{7D5B4161-B44E-41A4-AC36-3B5902E37C26}">
  <ds:schemaRefs/>
</ds:datastoreItem>
</file>

<file path=customXml/itemProps40.xml><?xml version="1.0" encoding="utf-8"?>
<ds:datastoreItem xmlns:ds="http://schemas.openxmlformats.org/officeDocument/2006/customXml" ds:itemID="{59F51D16-C0C1-4D19-B7AD-13DC94DE6BA8}">
  <ds:schemaRefs/>
</ds:datastoreItem>
</file>

<file path=customXml/itemProps41.xml><?xml version="1.0" encoding="utf-8"?>
<ds:datastoreItem xmlns:ds="http://schemas.openxmlformats.org/officeDocument/2006/customXml" ds:itemID="{4CA393BE-982D-4E6F-B18E-58D4E0F2AE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Dashboard</vt:lpstr>
      <vt:lpstr>Análisis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Quiroz</dc:creator>
  <cp:lastModifiedBy>Leonel Quiroz</cp:lastModifiedBy>
  <cp:lastPrinted>2026-03-15T15:26:03Z</cp:lastPrinted>
  <dcterms:created xsi:type="dcterms:W3CDTF">2026-03-13T12:54:52Z</dcterms:created>
  <dcterms:modified xsi:type="dcterms:W3CDTF">2026-03-15T17:46:18Z</dcterms:modified>
</cp:coreProperties>
</file>